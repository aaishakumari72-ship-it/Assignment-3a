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8_{6446BA8E-2DA6-407A-8DE3-A313B987CEF4}" xr6:coauthVersionLast="47" xr6:coauthVersionMax="47" xr10:uidLastSave="{00000000-0000-0000-0000-000000000000}"/>
  <bookViews>
    <workbookView xWindow="-108" yWindow="-108" windowWidth="23256" windowHeight="12456" activeTab="1" xr2:uid="{F448F10E-B5F7-478D-8457-7EB55B9C02B9}"/>
  </bookViews>
  <sheets>
    <sheet name="Sheet2" sheetId="2" r:id="rId1"/>
    <sheet name="Sheet3" sheetId="4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4" l="1"/>
  <c r="C7" i="4"/>
  <c r="C8" i="4"/>
  <c r="C9" i="4"/>
  <c r="C5" i="4"/>
  <c r="C81" i="4"/>
  <c r="D72" i="4"/>
  <c r="D64" i="4"/>
  <c r="D65" i="4"/>
  <c r="D63" i="4"/>
  <c r="D50" i="4"/>
  <c r="B36" i="4"/>
  <c r="C23" i="4"/>
  <c r="C24" i="4"/>
  <c r="C25" i="4"/>
  <c r="C26" i="4"/>
  <c r="C22" i="4"/>
  <c r="D15" i="4"/>
  <c r="D16" i="4"/>
  <c r="D17" i="4"/>
  <c r="D14" i="4"/>
  <c r="C47" i="2"/>
  <c r="C64" i="2"/>
  <c r="B60" i="2"/>
  <c r="E55" i="2"/>
  <c r="E51" i="2"/>
  <c r="C41" i="2"/>
  <c r="C37" i="2"/>
  <c r="C33" i="2"/>
  <c r="C29" i="2" a="1"/>
  <c r="C29" i="2" s="1"/>
  <c r="C25" i="2" a="1"/>
  <c r="C2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<sst xmlns="http://schemas.openxmlformats.org/spreadsheetml/2006/main" count="303" uniqueCount="178">
  <si>
    <t>Jane Smith</t>
  </si>
  <si>
    <t>Isabella Moore</t>
  </si>
  <si>
    <t>Daniel Davis</t>
  </si>
  <si>
    <t>Alex Moore</t>
  </si>
  <si>
    <t>Michael Johnson</t>
  </si>
  <si>
    <t>Daniel Johnson</t>
  </si>
  <si>
    <t>Isabella Davis</t>
  </si>
  <si>
    <t>Jane Davis</t>
  </si>
  <si>
    <t>Alex Wilson</t>
  </si>
  <si>
    <t>Shoes</t>
  </si>
  <si>
    <t>Laptop</t>
  </si>
  <si>
    <t>Sofa</t>
  </si>
  <si>
    <t>Table Lamp</t>
  </si>
  <si>
    <t>Backpack</t>
  </si>
  <si>
    <t>Headphones</t>
  </si>
  <si>
    <t>T-shirt</t>
  </si>
  <si>
    <t>Electronics</t>
  </si>
  <si>
    <t>Clothing</t>
  </si>
  <si>
    <t>Home Decor</t>
  </si>
  <si>
    <t>Customer Name</t>
  </si>
  <si>
    <t>Product Name</t>
  </si>
  <si>
    <t>Category</t>
  </si>
  <si>
    <t>Quantity</t>
  </si>
  <si>
    <t>Unit Price ($)</t>
  </si>
  <si>
    <t>ExcelTipsAreGreat</t>
  </si>
  <si>
    <t>DataAnalysis.xlsx</t>
  </si>
  <si>
    <t>Hello World!</t>
  </si>
  <si>
    <t>12345-67890-ABCDE</t>
  </si>
  <si>
    <t>Hello</t>
  </si>
  <si>
    <t>World</t>
  </si>
  <si>
    <t>Apple</t>
  </si>
  <si>
    <t>Bannana</t>
  </si>
  <si>
    <t>Cherry</t>
  </si>
  <si>
    <t>:</t>
  </si>
  <si>
    <t>Excel Function</t>
  </si>
  <si>
    <t>Aaisha</t>
  </si>
  <si>
    <t>Kumari</t>
  </si>
  <si>
    <t>Q6. Understand and apply fundamental text functions like LEFT, RIGHT, MID, and LEN</t>
  </si>
  <si>
    <t>Q7. Understand how to combine text using CONCAT, TEXTJOIN, and the &amp; operator</t>
  </si>
  <si>
    <t>RAM</t>
  </si>
  <si>
    <t>PRIYA</t>
  </si>
  <si>
    <t>RIYA</t>
  </si>
  <si>
    <t>TIYA</t>
  </si>
  <si>
    <t>PIYA</t>
  </si>
  <si>
    <t>Q5. Apply Data Validation to restrict Quantity values to only whole numbers between 1 and 10</t>
  </si>
  <si>
    <t xml:space="preserve"> a. Extract the first 5 characters from the string "ExcelTipsAreGreat" using the LEFT function.</t>
  </si>
  <si>
    <t>b. function. Extract the last 4 characters from "DataAnalysis.xlsx" using the RIGHT function.</t>
  </si>
  <si>
    <t>c. Extract the substring "Tips" from "ExcelTipsAreGreat" using the MID function.</t>
  </si>
  <si>
    <t>d. Count the total number of characters in the string "Hello World!" using the LEN function.</t>
  </si>
  <si>
    <t>e. Create a formula to extract the middle 6 characters from "12345-67890-ABCDE".</t>
  </si>
  <si>
    <t>a. Use CONCAT to combine "Hello" and "World" with a space in between.</t>
  </si>
  <si>
    <t>b. Combine "Apple", "Banana", and "Cherry" into a single string separated by commas using TEXTJOIN.</t>
  </si>
  <si>
    <t>c. Use the &amp; operator to create the string "2025: Excel Functions" by combining "2025", ": ", and "Excel Functions".</t>
  </si>
  <si>
    <t>d. Create a comma-separated list from the range A1:A5 using TEXTJOIN</t>
  </si>
  <si>
    <t>e. Combine first names in column A with last names in column B to create full names in column C.</t>
  </si>
  <si>
    <t>OrderID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</si>
  <si>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</si>
  <si>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</si>
  <si>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</si>
  <si>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</si>
  <si>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</si>
  <si>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</si>
  <si>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</si>
  <si>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</si>
  <si>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</si>
  <si>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</si>
  <si>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</si>
  <si>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</si>
  <si>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</si>
  <si>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</si>
  <si>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</si>
  <si>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</si>
  <si>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Meera Nair</t>
  </si>
  <si>
    <t>Anjali Rao</t>
  </si>
  <si>
    <t>Manoj Das</t>
  </si>
  <si>
    <t>Ritika Sen</t>
  </si>
  <si>
    <t>Karan Malhotra</t>
  </si>
  <si>
    <t>Aryan Joshi</t>
  </si>
  <si>
    <t>Divya Kapoor</t>
  </si>
  <si>
    <t>Sahil Arora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</si>
  <si>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</si>
  <si>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</si>
  <si>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</si>
  <si>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</si>
  <si>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</si>
  <si>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</si>
  <si>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</si>
  <si>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</si>
  <si>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</si>
  <si>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</si>
  <si>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</si>
  <si>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</si>
  <si>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</si>
  <si>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</si>
  <si>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</si>
  <si>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</si>
  <si>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</si>
  <si>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</si>
  <si>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</si>
  <si>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</si>
  <si>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</si>
  <si>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</si>
  <si>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</si>
  <si>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</si>
  <si>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</si>
  <si>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</si>
  <si>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</si>
  <si>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</si>
  <si>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</si>
  <si>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</si>
  <si>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</si>
  <si>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</si>
  <si>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</si>
  <si>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</si>
  <si>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</si>
  <si>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Student Name</t>
  </si>
  <si>
    <t>Riya</t>
  </si>
  <si>
    <t>Siya</t>
  </si>
  <si>
    <t>Raju</t>
  </si>
  <si>
    <t>Rahul</t>
  </si>
  <si>
    <t>Ram</t>
  </si>
  <si>
    <t>Marks</t>
  </si>
  <si>
    <t>Q1 . Write a formula to check if the marks in cell are greater than or equal to 40. If yes, return , otherwise . B2 "Pass" "Fail"</t>
  </si>
  <si>
    <t>Result</t>
  </si>
  <si>
    <t xml:space="preserve"> Q2. company gives a bonus  if sales are above 40,000 and attendance is greater than or equal to 90%. Write a formula to calculate whether the employee will get a bonus or not .</t>
  </si>
  <si>
    <t>Employee</t>
  </si>
  <si>
    <t>Sales</t>
  </si>
  <si>
    <t>Attendance</t>
  </si>
  <si>
    <t>Arjun</t>
  </si>
  <si>
    <t>Simran</t>
  </si>
  <si>
    <t>Rohit</t>
  </si>
  <si>
    <t>Anjali</t>
  </si>
  <si>
    <t>Bonus</t>
  </si>
  <si>
    <t>Raj</t>
  </si>
  <si>
    <t>Neha</t>
  </si>
  <si>
    <t>Vivek</t>
  </si>
  <si>
    <t>Rani</t>
  </si>
  <si>
    <t>Sneha</t>
  </si>
  <si>
    <t>Q3. Write a nested IF formula:_x000B_ If marks in are ≥ 90 →"A" , ≥ 75 →"B" , ≥ 50 → "C", otherwise  "Fail".</t>
  </si>
  <si>
    <t>Grade</t>
  </si>
  <si>
    <t>Q4. Fnd the Department of Employee ID = E103. Also explain which LOOKUP function is used and why?</t>
  </si>
  <si>
    <t>EmpID</t>
  </si>
  <si>
    <t>E101</t>
  </si>
  <si>
    <t>E102</t>
  </si>
  <si>
    <t>E103</t>
  </si>
  <si>
    <t>E104</t>
  </si>
  <si>
    <t>Sejal</t>
  </si>
  <si>
    <t>Roshni</t>
  </si>
  <si>
    <t>Name</t>
  </si>
  <si>
    <t>Department</t>
  </si>
  <si>
    <t>IT</t>
  </si>
  <si>
    <t>HR</t>
  </si>
  <si>
    <t>Finance</t>
  </si>
  <si>
    <t>Answer</t>
  </si>
  <si>
    <t>Answer  =</t>
  </si>
  <si>
    <t>VLOOKUP Function: Used because it searches the value vertically (top to bottom) in the first column of a table and returns a value from the same row.</t>
  </si>
  <si>
    <t xml:space="preserve"> The table is arranged in vertical (columnar) format, so VLOOKUP scans down the first column to match the lookup value.</t>
  </si>
  <si>
    <t>Q5. A company has set the following commission structure for its sales team:</t>
  </si>
  <si>
    <t>If a salesperson achieves sales of ₹45,000, use the VLOOKUP function to determine the commission rate applicable.</t>
  </si>
  <si>
    <t>Sales Amount</t>
  </si>
  <si>
    <t>Commission Rate</t>
  </si>
  <si>
    <t>Q6. The HR department maintains the following leave records of employees:onus or not .</t>
  </si>
  <si>
    <t>Leaves Taken</t>
  </si>
  <si>
    <t>Leaves Allowed</t>
  </si>
  <si>
    <t>Alex</t>
  </si>
  <si>
    <t>Bob</t>
  </si>
  <si>
    <t>Anna</t>
  </si>
  <si>
    <t>Write an IF function to check whether an employee has Exceeded their allowed leave balance</t>
  </si>
  <si>
    <t>If Leaves Taken &gt; Allowed Leaves, display "Exceeded".</t>
  </si>
  <si>
    <t>Otherwise, display "OK".</t>
  </si>
  <si>
    <t>Q7. Find the salary of EmpID = E105 using INDEX-MATCH Function</t>
  </si>
  <si>
    <t>Salary</t>
  </si>
  <si>
    <t>E105</t>
  </si>
  <si>
    <t>E106</t>
  </si>
  <si>
    <t>Q8. Use the XLOOKUP function to find the Department of the employee with Emp ID = E303</t>
  </si>
  <si>
    <t>E303</t>
  </si>
  <si>
    <t>E301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</si>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</sst>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9" fontId="0" fillId="0" borderId="0" xfId="1" applyFont="1"/>
    <xf numFmtId="9" fontId="0" fillId="0" borderId="1" xfId="1" applyFont="1" applyBorder="1"/>
    <xf numFmtId="9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0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B93F3-3F27-4E3A-AAF4-E35AB3441125}">
  <dimension ref="A1:G64"/>
  <sheetViews>
    <sheetView zoomScale="123" workbookViewId="0">
      <selection activeCell="A7" sqref="A7:E7"/>
    </sheetView>
  </sheetViews>
  <sheetFormatPr defaultRowHeight="14.4" x14ac:dyDescent="0.3"/>
  <cols>
    <col min="1" max="1" width="17.109375" customWidth="1"/>
    <col min="2" max="2" width="23.33203125" customWidth="1"/>
    <col min="3" max="3" width="16.6640625" customWidth="1"/>
    <col min="4" max="4" width="8.88671875" customWidth="1"/>
    <col min="5" max="5" width="21.44140625" customWidth="1"/>
  </cols>
  <sheetData>
    <row r="1" spans="1:7" x14ac:dyDescent="0.3">
      <c r="A1" t="s">
        <v>39</v>
      </c>
    </row>
    <row r="2" spans="1:7" x14ac:dyDescent="0.3">
      <c r="A2" t="s">
        <v>40</v>
      </c>
    </row>
    <row r="3" spans="1:7" x14ac:dyDescent="0.3">
      <c r="A3" t="s">
        <v>41</v>
      </c>
    </row>
    <row r="4" spans="1:7" x14ac:dyDescent="0.3">
      <c r="A4" t="s">
        <v>42</v>
      </c>
    </row>
    <row r="5" spans="1:7" x14ac:dyDescent="0.3">
      <c r="A5" t="s">
        <v>43</v>
      </c>
    </row>
    <row r="7" spans="1:7" x14ac:dyDescent="0.3">
      <c r="A7" s="1" t="s">
        <v>44</v>
      </c>
      <c r="B7" s="1"/>
      <c r="C7" s="1"/>
      <c r="D7" s="1"/>
      <c r="E7" s="1"/>
      <c r="F7" s="1"/>
      <c r="G7" s="1"/>
    </row>
    <row r="10" spans="1:7" x14ac:dyDescent="0.3">
      <c r="A10" s="2" t="s">
        <v>19</v>
      </c>
      <c r="B10" s="2" t="s">
        <v>20</v>
      </c>
      <c r="C10" s="2" t="s">
        <v>21</v>
      </c>
      <c r="D10" s="2" t="s">
        <v>22</v>
      </c>
      <c r="E10" s="2" t="s">
        <v>23</v>
      </c>
    </row>
    <row r="11" spans="1:7" x14ac:dyDescent="0.3">
      <c r="A11" s="3" t="s">
        <v>0</v>
      </c>
      <c r="B11" s="3" t="s">
        <v>9</v>
      </c>
      <c r="C11" s="3" t="s">
        <v>16</v>
      </c>
      <c r="D11" s="3"/>
      <c r="E11" s="3">
        <v>81</v>
      </c>
    </row>
    <row r="12" spans="1:7" x14ac:dyDescent="0.3">
      <c r="A12" s="3" t="s">
        <v>1</v>
      </c>
      <c r="B12" s="3" t="s">
        <v>10</v>
      </c>
      <c r="C12" s="3" t="s">
        <v>16</v>
      </c>
      <c r="D12" s="3"/>
      <c r="E12" s="3">
        <v>121</v>
      </c>
    </row>
    <row r="13" spans="1:7" x14ac:dyDescent="0.3">
      <c r="A13" s="3" t="s">
        <v>2</v>
      </c>
      <c r="B13" s="3" t="s">
        <v>11</v>
      </c>
      <c r="C13" s="3" t="s">
        <v>17</v>
      </c>
      <c r="D13" s="3">
        <v>1</v>
      </c>
      <c r="E13" s="3">
        <v>239</v>
      </c>
    </row>
    <row r="14" spans="1:7" x14ac:dyDescent="0.3">
      <c r="A14" s="3" t="s">
        <v>3</v>
      </c>
      <c r="B14" s="3" t="s">
        <v>9</v>
      </c>
      <c r="C14" s="3" t="s">
        <v>16</v>
      </c>
      <c r="D14" s="3"/>
      <c r="E14" s="3">
        <v>500</v>
      </c>
    </row>
    <row r="15" spans="1:7" x14ac:dyDescent="0.3">
      <c r="A15" s="3" t="s">
        <v>4</v>
      </c>
      <c r="B15" s="3" t="s">
        <v>12</v>
      </c>
      <c r="C15" s="3" t="s">
        <v>18</v>
      </c>
      <c r="D15" s="3"/>
      <c r="E15" s="3">
        <v>423</v>
      </c>
    </row>
    <row r="16" spans="1:7" x14ac:dyDescent="0.3">
      <c r="A16" s="3" t="s">
        <v>5</v>
      </c>
      <c r="B16" s="3" t="s">
        <v>13</v>
      </c>
      <c r="C16" s="3" t="s">
        <v>16</v>
      </c>
      <c r="D16" s="3"/>
      <c r="E16" s="3">
        <v>160</v>
      </c>
    </row>
    <row r="17" spans="1:5" x14ac:dyDescent="0.3">
      <c r="A17" s="3" t="s">
        <v>6</v>
      </c>
      <c r="B17" s="3" t="s">
        <v>14</v>
      </c>
      <c r="C17" s="3" t="s">
        <v>16</v>
      </c>
      <c r="D17" s="3"/>
      <c r="E17" s="3">
        <v>348</v>
      </c>
    </row>
    <row r="18" spans="1:5" x14ac:dyDescent="0.3">
      <c r="A18" s="3" t="s">
        <v>7</v>
      </c>
      <c r="B18" s="3" t="s">
        <v>14</v>
      </c>
      <c r="C18" s="3" t="s">
        <v>16</v>
      </c>
      <c r="D18" s="3"/>
      <c r="E18" s="3">
        <v>152</v>
      </c>
    </row>
    <row r="19" spans="1:5" x14ac:dyDescent="0.3">
      <c r="A19" s="3" t="s">
        <v>8</v>
      </c>
      <c r="B19" s="3" t="s">
        <v>15</v>
      </c>
      <c r="C19" s="3" t="s">
        <v>18</v>
      </c>
      <c r="D19" s="3"/>
      <c r="E19" s="3">
        <v>369</v>
      </c>
    </row>
    <row r="21" spans="1:5" x14ac:dyDescent="0.3">
      <c r="A21" s="1" t="s">
        <v>37</v>
      </c>
    </row>
    <row r="23" spans="1:5" x14ac:dyDescent="0.3">
      <c r="A23" t="s">
        <v>45</v>
      </c>
    </row>
    <row r="25" spans="1:5" x14ac:dyDescent="0.3">
      <c r="B25" t="s">
        <v>24</v>
      </c>
      <c r="C25" s="4" t="str" cm="1">
        <f t="array" ref="C25">LEFT(B25,{5})</f>
        <v>Excel</v>
      </c>
    </row>
    <row r="27" spans="1:5" x14ac:dyDescent="0.3">
      <c r="A27" t="s">
        <v>46</v>
      </c>
    </row>
    <row r="29" spans="1:5" x14ac:dyDescent="0.3">
      <c r="B29" t="s">
        <v>25</v>
      </c>
      <c r="C29" s="4" t="str" cm="1">
        <f t="array" ref="C29">RIGHT(B29,{4})</f>
        <v>xlsx</v>
      </c>
    </row>
    <row r="31" spans="1:5" x14ac:dyDescent="0.3">
      <c r="A31" t="s">
        <v>47</v>
      </c>
    </row>
    <row r="33" spans="1:3" x14ac:dyDescent="0.3">
      <c r="B33" t="s">
        <v>24</v>
      </c>
      <c r="C33" s="4" t="str">
        <f>MID(B33,5,4)</f>
        <v>lTip</v>
      </c>
    </row>
    <row r="35" spans="1:3" x14ac:dyDescent="0.3">
      <c r="A35" t="s">
        <v>48</v>
      </c>
    </row>
    <row r="37" spans="1:3" x14ac:dyDescent="0.3">
      <c r="B37" t="s">
        <v>26</v>
      </c>
      <c r="C37" s="4">
        <f>LEN(B37)</f>
        <v>12</v>
      </c>
    </row>
    <row r="39" spans="1:3" x14ac:dyDescent="0.3">
      <c r="A39" t="s">
        <v>49</v>
      </c>
    </row>
    <row r="41" spans="1:3" x14ac:dyDescent="0.3">
      <c r="B41" t="s">
        <v>27</v>
      </c>
      <c r="C41" s="4" t="str">
        <f>MID(B41,7,6)</f>
        <v>67890-</v>
      </c>
    </row>
    <row r="43" spans="1:3" x14ac:dyDescent="0.3">
      <c r="A43" s="1" t="s">
        <v>38</v>
      </c>
    </row>
    <row r="45" spans="1:3" x14ac:dyDescent="0.3">
      <c r="A45" t="s">
        <v>50</v>
      </c>
    </row>
    <row r="47" spans="1:3" x14ac:dyDescent="0.3">
      <c r="A47" t="s">
        <v>28</v>
      </c>
      <c r="B47" t="s">
        <v>29</v>
      </c>
      <c r="C47" s="3" t="str">
        <f>_xlfn.TEXTJOIN(" ",TRUE,A47,B47)</f>
        <v>Hello World</v>
      </c>
    </row>
    <row r="49" spans="1:5" x14ac:dyDescent="0.3">
      <c r="A49" t="s">
        <v>51</v>
      </c>
    </row>
    <row r="51" spans="1:5" x14ac:dyDescent="0.3">
      <c r="A51" t="s">
        <v>30</v>
      </c>
      <c r="B51" t="s">
        <v>31</v>
      </c>
      <c r="C51" t="s">
        <v>32</v>
      </c>
      <c r="E51" s="3" t="str">
        <f>_xlfn.TEXTJOIN(",",TRUE,A51,B51,C51)</f>
        <v>Apple,Bannana,Cherry</v>
      </c>
    </row>
    <row r="53" spans="1:5" x14ac:dyDescent="0.3">
      <c r="A53" t="s">
        <v>52</v>
      </c>
    </row>
    <row r="55" spans="1:5" x14ac:dyDescent="0.3">
      <c r="A55">
        <v>2025</v>
      </c>
      <c r="B55" t="s">
        <v>33</v>
      </c>
      <c r="C55" t="s">
        <v>34</v>
      </c>
      <c r="E55" s="3" t="str">
        <f>CONCATENATE(A55,B55,C55)</f>
        <v>2025:Excel Function</v>
      </c>
    </row>
    <row r="58" spans="1:5" x14ac:dyDescent="0.3">
      <c r="A58" t="s">
        <v>53</v>
      </c>
    </row>
    <row r="60" spans="1:5" x14ac:dyDescent="0.3">
      <c r="B60" s="3" t="str">
        <f>_xlfn.TEXTJOIN(",",TRUE,A1:A5)</f>
        <v>RAM,PRIYA,RIYA,TIYA,PIYA</v>
      </c>
    </row>
    <row r="62" spans="1:5" x14ac:dyDescent="0.3">
      <c r="A62" t="s">
        <v>54</v>
      </c>
    </row>
    <row r="64" spans="1:5" x14ac:dyDescent="0.3">
      <c r="A64" t="s">
        <v>35</v>
      </c>
      <c r="B64" t="s">
        <v>36</v>
      </c>
      <c r="C64" s="3" t="str">
        <f>_xlfn.TEXTJOIN(" ",TRUE,A64,B64)</f>
        <v>Aaisha Kumari</v>
      </c>
    </row>
  </sheetData>
  <dataValidations count="1">
    <dataValidation type="whole" allowBlank="1" showInputMessage="1" showErrorMessage="1" error="&quot;Invalid input! The quantity must be a whole number between 1 and 10.&quot;" prompt="&quot;Please enter a whole number between 1 and 10.&quot;_x000a__x000a_" sqref="D11:D19" xr:uid="{38229A0A-F62A-4AB6-9398-462DA7A48CEE}">
      <formula1>1</formula1>
      <formula2>10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AAF07-33A5-4858-BF71-E632C3AF3E69}">
  <dimension ref="A2:O82"/>
  <sheetViews>
    <sheetView tabSelected="1" zoomScale="114" workbookViewId="0">
      <selection activeCell="D14" sqref="D14"/>
    </sheetView>
  </sheetViews>
  <sheetFormatPr defaultRowHeight="14.4" x14ac:dyDescent="0.3"/>
  <cols>
    <col min="1" max="1" width="15.33203125" customWidth="1"/>
    <col min="2" max="2" width="16.44140625" bestFit="1" customWidth="1"/>
    <col min="3" max="3" width="15.109375" bestFit="1" customWidth="1"/>
    <col min="4" max="4" width="13.33203125" customWidth="1"/>
  </cols>
  <sheetData>
    <row r="2" spans="1:4" x14ac:dyDescent="0.3">
      <c r="A2" t="s">
        <v>122</v>
      </c>
    </row>
    <row r="4" spans="1:4" x14ac:dyDescent="0.3">
      <c r="A4" s="2" t="s">
        <v>115</v>
      </c>
      <c r="B4" s="2" t="s">
        <v>121</v>
      </c>
      <c r="C4" s="2" t="s">
        <v>123</v>
      </c>
    </row>
    <row r="5" spans="1:4" x14ac:dyDescent="0.3">
      <c r="A5" s="3" t="s">
        <v>116</v>
      </c>
      <c r="B5" s="3">
        <v>45</v>
      </c>
      <c r="C5" s="3" t="str">
        <f>IF($B5&gt;=40,"Pass","Fail")</f>
        <v>Pass</v>
      </c>
    </row>
    <row r="6" spans="1:4" x14ac:dyDescent="0.3">
      <c r="A6" s="3" t="s">
        <v>117</v>
      </c>
      <c r="B6" s="3">
        <v>72</v>
      </c>
      <c r="C6" s="3" t="str">
        <f t="shared" ref="C6:C9" si="0">IF($B6&gt;=40,"Pass","Fail")</f>
        <v>Pass</v>
      </c>
    </row>
    <row r="7" spans="1:4" x14ac:dyDescent="0.3">
      <c r="A7" s="3" t="s">
        <v>118</v>
      </c>
      <c r="B7" s="3">
        <v>55</v>
      </c>
      <c r="C7" s="3" t="str">
        <f t="shared" si="0"/>
        <v>Pass</v>
      </c>
    </row>
    <row r="8" spans="1:4" x14ac:dyDescent="0.3">
      <c r="A8" s="3" t="s">
        <v>119</v>
      </c>
      <c r="B8" s="3">
        <v>80</v>
      </c>
      <c r="C8" s="3" t="str">
        <f t="shared" si="0"/>
        <v>Pass</v>
      </c>
    </row>
    <row r="9" spans="1:4" x14ac:dyDescent="0.3">
      <c r="A9" s="3" t="s">
        <v>120</v>
      </c>
      <c r="B9" s="3">
        <v>30</v>
      </c>
      <c r="C9" s="3" t="str">
        <f t="shared" si="0"/>
        <v>Fail</v>
      </c>
    </row>
    <row r="11" spans="1:4" x14ac:dyDescent="0.3">
      <c r="A11" t="s">
        <v>124</v>
      </c>
    </row>
    <row r="13" spans="1:4" x14ac:dyDescent="0.3">
      <c r="A13" s="2" t="s">
        <v>125</v>
      </c>
      <c r="B13" s="2" t="s">
        <v>126</v>
      </c>
      <c r="C13" s="2" t="s">
        <v>127</v>
      </c>
      <c r="D13" s="2" t="s">
        <v>132</v>
      </c>
    </row>
    <row r="14" spans="1:4" x14ac:dyDescent="0.3">
      <c r="A14" s="3" t="s">
        <v>128</v>
      </c>
      <c r="B14" s="3">
        <v>55000</v>
      </c>
      <c r="C14" s="3">
        <v>95</v>
      </c>
      <c r="D14" s="3" t="str">
        <f>IF(AND($B14&gt;40000,$C14&gt;=90),"Get Bonus","Not Get Bonus")</f>
        <v>Get Bonus</v>
      </c>
    </row>
    <row r="15" spans="1:4" x14ac:dyDescent="0.3">
      <c r="A15" s="3" t="s">
        <v>129</v>
      </c>
      <c r="B15" s="3">
        <v>65000</v>
      </c>
      <c r="C15" s="3">
        <v>85</v>
      </c>
      <c r="D15" s="3" t="str">
        <f t="shared" ref="D15:D17" si="1">IF(AND($B15&gt;40000,$C15&gt;=90),"Get Bonus","Not Get Bonus")</f>
        <v>Not Get Bonus</v>
      </c>
    </row>
    <row r="16" spans="1:4" x14ac:dyDescent="0.3">
      <c r="A16" s="3" t="s">
        <v>130</v>
      </c>
      <c r="B16" s="3">
        <v>30000</v>
      </c>
      <c r="C16" s="3">
        <v>90</v>
      </c>
      <c r="D16" s="3" t="str">
        <f t="shared" si="1"/>
        <v>Not Get Bonus</v>
      </c>
    </row>
    <row r="17" spans="1:8" x14ac:dyDescent="0.3">
      <c r="A17" s="3" t="s">
        <v>131</v>
      </c>
      <c r="B17" s="3">
        <v>25000</v>
      </c>
      <c r="C17" s="3">
        <v>65</v>
      </c>
      <c r="D17" s="3" t="str">
        <f t="shared" si="1"/>
        <v>Not Get Bonus</v>
      </c>
    </row>
    <row r="19" spans="1:8" x14ac:dyDescent="0.3">
      <c r="A19" s="6" t="s">
        <v>138</v>
      </c>
      <c r="B19" s="6"/>
      <c r="C19" s="6"/>
      <c r="D19" s="6"/>
      <c r="E19" s="6"/>
      <c r="F19" s="6"/>
      <c r="G19" s="6"/>
      <c r="H19" s="6"/>
    </row>
    <row r="21" spans="1:8" x14ac:dyDescent="0.3">
      <c r="A21" s="2" t="s">
        <v>115</v>
      </c>
      <c r="B21" s="2" t="s">
        <v>121</v>
      </c>
      <c r="C21" s="2" t="s">
        <v>139</v>
      </c>
    </row>
    <row r="22" spans="1:8" x14ac:dyDescent="0.3">
      <c r="A22" s="3" t="s">
        <v>133</v>
      </c>
      <c r="B22" s="3">
        <v>75</v>
      </c>
      <c r="C22" s="3" t="str">
        <f>IF($B22&gt;90,"A",IF($B22&gt;75,"B",IF($B22&gt;50,"C","FAIL")))</f>
        <v>C</v>
      </c>
    </row>
    <row r="23" spans="1:8" x14ac:dyDescent="0.3">
      <c r="A23" s="3" t="s">
        <v>134</v>
      </c>
      <c r="B23" s="3">
        <v>92</v>
      </c>
      <c r="C23" s="3" t="str">
        <f t="shared" ref="C23:C26" si="2">IF($B23&gt;90,"A",IF($B23&gt;75,"B",IF($B23&gt;50,"C","FAIL")))</f>
        <v>A</v>
      </c>
    </row>
    <row r="24" spans="1:8" x14ac:dyDescent="0.3">
      <c r="A24" s="3" t="s">
        <v>135</v>
      </c>
      <c r="B24" s="3">
        <v>57</v>
      </c>
      <c r="C24" s="3" t="str">
        <f t="shared" si="2"/>
        <v>C</v>
      </c>
    </row>
    <row r="25" spans="1:8" x14ac:dyDescent="0.3">
      <c r="A25" s="3" t="s">
        <v>136</v>
      </c>
      <c r="B25" s="3">
        <v>92</v>
      </c>
      <c r="C25" s="3" t="str">
        <f t="shared" si="2"/>
        <v>A</v>
      </c>
    </row>
    <row r="26" spans="1:8" x14ac:dyDescent="0.3">
      <c r="A26" s="3" t="s">
        <v>137</v>
      </c>
      <c r="B26" s="3">
        <v>75</v>
      </c>
      <c r="C26" s="3" t="str">
        <f t="shared" si="2"/>
        <v>C</v>
      </c>
    </row>
    <row r="28" spans="1:8" x14ac:dyDescent="0.3">
      <c r="A28" s="6" t="s">
        <v>140</v>
      </c>
      <c r="B28" s="6"/>
      <c r="C28" s="6"/>
      <c r="D28" s="6"/>
      <c r="E28" s="6"/>
      <c r="F28" s="6"/>
      <c r="G28" s="6"/>
    </row>
    <row r="30" spans="1:8" x14ac:dyDescent="0.3">
      <c r="A30" t="s">
        <v>141</v>
      </c>
      <c r="B30" t="s">
        <v>148</v>
      </c>
      <c r="C30" t="s">
        <v>149</v>
      </c>
    </row>
    <row r="31" spans="1:8" x14ac:dyDescent="0.3">
      <c r="A31" t="s">
        <v>142</v>
      </c>
      <c r="B31" t="s">
        <v>118</v>
      </c>
      <c r="C31" t="s">
        <v>150</v>
      </c>
    </row>
    <row r="32" spans="1:8" x14ac:dyDescent="0.3">
      <c r="A32" t="s">
        <v>143</v>
      </c>
      <c r="B32" t="s">
        <v>116</v>
      </c>
      <c r="C32" t="s">
        <v>151</v>
      </c>
    </row>
    <row r="33" spans="1:15" x14ac:dyDescent="0.3">
      <c r="A33" t="s">
        <v>144</v>
      </c>
      <c r="B33" t="s">
        <v>147</v>
      </c>
      <c r="C33" t="s">
        <v>152</v>
      </c>
    </row>
    <row r="34" spans="1:15" x14ac:dyDescent="0.3">
      <c r="A34" t="s">
        <v>145</v>
      </c>
      <c r="B34" t="s">
        <v>146</v>
      </c>
      <c r="C34" t="s">
        <v>126</v>
      </c>
    </row>
    <row r="36" spans="1:15" x14ac:dyDescent="0.3">
      <c r="A36" t="s">
        <v>154</v>
      </c>
      <c r="B36" s="3" t="str">
        <f>VLOOKUP(A33,A30:C34,3)</f>
        <v>Finance</v>
      </c>
    </row>
    <row r="38" spans="1:15" x14ac:dyDescent="0.3">
      <c r="B38" s="13"/>
      <c r="C38" s="13"/>
    </row>
    <row r="40" spans="1:15" x14ac:dyDescent="0.3">
      <c r="A40" s="7" t="s">
        <v>155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spans="1:15" x14ac:dyDescent="0.3">
      <c r="A41" s="7" t="s">
        <v>156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4" spans="1:15" x14ac:dyDescent="0.3">
      <c r="A44" s="7" t="s">
        <v>157</v>
      </c>
      <c r="B44" s="7"/>
      <c r="C44" s="7"/>
      <c r="D44" s="7"/>
      <c r="E44" s="7"/>
    </row>
    <row r="46" spans="1:15" x14ac:dyDescent="0.3">
      <c r="A46" t="s">
        <v>158</v>
      </c>
    </row>
    <row r="48" spans="1:15" x14ac:dyDescent="0.3">
      <c r="A48" s="3" t="s">
        <v>159</v>
      </c>
      <c r="B48" s="3" t="s">
        <v>160</v>
      </c>
    </row>
    <row r="49" spans="1:6" x14ac:dyDescent="0.3">
      <c r="A49" s="3">
        <v>0</v>
      </c>
      <c r="B49" s="10">
        <v>0.05</v>
      </c>
      <c r="D49" t="s">
        <v>153</v>
      </c>
    </row>
    <row r="50" spans="1:6" x14ac:dyDescent="0.3">
      <c r="A50" s="3">
        <v>20000</v>
      </c>
      <c r="B50" s="10">
        <v>0.1</v>
      </c>
      <c r="C50" s="8"/>
      <c r="D50" s="9">
        <f>VLOOKUP(45000,$A$49:$B$52,2)</f>
        <v>0.1</v>
      </c>
    </row>
    <row r="51" spans="1:6" x14ac:dyDescent="0.3">
      <c r="A51" s="3">
        <v>50000</v>
      </c>
      <c r="B51" s="10">
        <v>0.15</v>
      </c>
    </row>
    <row r="52" spans="1:6" x14ac:dyDescent="0.3">
      <c r="A52" s="3">
        <v>80000</v>
      </c>
      <c r="B52" s="10">
        <v>0.2</v>
      </c>
    </row>
    <row r="55" spans="1:6" x14ac:dyDescent="0.3">
      <c r="A55" s="7" t="s">
        <v>161</v>
      </c>
      <c r="B55" s="7"/>
      <c r="C55" s="7"/>
      <c r="D55" s="7"/>
      <c r="E55" s="7"/>
      <c r="F55" s="7"/>
    </row>
    <row r="56" spans="1:6" x14ac:dyDescent="0.3">
      <c r="A56" t="s">
        <v>167</v>
      </c>
      <c r="B56" s="5"/>
      <c r="C56" s="5"/>
      <c r="D56" s="5"/>
      <c r="E56" s="5"/>
      <c r="F56" s="5"/>
    </row>
    <row r="57" spans="1:6" x14ac:dyDescent="0.3">
      <c r="B57" s="5"/>
      <c r="C57" s="5"/>
      <c r="D57" s="5"/>
      <c r="E57" s="5"/>
      <c r="F57" s="5"/>
    </row>
    <row r="58" spans="1:6" x14ac:dyDescent="0.3">
      <c r="A58" t="s">
        <v>168</v>
      </c>
      <c r="B58" s="5"/>
      <c r="C58" s="5"/>
      <c r="D58" s="5"/>
      <c r="E58" s="5"/>
      <c r="F58" s="5"/>
    </row>
    <row r="59" spans="1:6" x14ac:dyDescent="0.3">
      <c r="A59" t="s">
        <v>169</v>
      </c>
      <c r="B59" s="5"/>
      <c r="C59" s="5"/>
      <c r="D59" s="5"/>
      <c r="E59" s="5"/>
      <c r="F59" s="5"/>
    </row>
    <row r="60" spans="1:6" x14ac:dyDescent="0.3">
      <c r="B60" s="5"/>
      <c r="C60" s="5"/>
      <c r="D60" s="5"/>
      <c r="E60" s="5"/>
      <c r="F60" s="5"/>
    </row>
    <row r="62" spans="1:6" x14ac:dyDescent="0.3">
      <c r="A62" s="2" t="s">
        <v>125</v>
      </c>
      <c r="B62" s="2" t="s">
        <v>162</v>
      </c>
      <c r="C62" s="2" t="s">
        <v>163</v>
      </c>
      <c r="D62" s="3"/>
    </row>
    <row r="63" spans="1:6" x14ac:dyDescent="0.3">
      <c r="A63" s="3" t="s">
        <v>164</v>
      </c>
      <c r="B63" s="3">
        <v>10</v>
      </c>
      <c r="C63" s="3">
        <v>12</v>
      </c>
      <c r="D63" s="3" t="str">
        <f>IF($B63&gt;$C63,"Exceeded","OK")</f>
        <v>OK</v>
      </c>
    </row>
    <row r="64" spans="1:6" x14ac:dyDescent="0.3">
      <c r="A64" s="3" t="s">
        <v>165</v>
      </c>
      <c r="B64" s="3">
        <v>10</v>
      </c>
      <c r="C64" s="3">
        <v>15</v>
      </c>
      <c r="D64" s="3" t="str">
        <f t="shared" ref="D64:D65" si="3">IF($B64&gt;$C64,"Exceeded","OK")</f>
        <v>OK</v>
      </c>
    </row>
    <row r="65" spans="1:6" x14ac:dyDescent="0.3">
      <c r="A65" s="3" t="s">
        <v>166</v>
      </c>
      <c r="B65" s="3">
        <v>8</v>
      </c>
      <c r="C65" s="3">
        <v>12</v>
      </c>
      <c r="D65" s="3" t="str">
        <f t="shared" si="3"/>
        <v>OK</v>
      </c>
    </row>
    <row r="67" spans="1:6" x14ac:dyDescent="0.3">
      <c r="A67" s="7" t="s">
        <v>170</v>
      </c>
      <c r="B67" s="7"/>
      <c r="C67" s="7"/>
      <c r="D67" s="7"/>
    </row>
    <row r="69" spans="1:6" x14ac:dyDescent="0.3">
      <c r="A69" s="1" t="s">
        <v>141</v>
      </c>
      <c r="B69" s="1" t="s">
        <v>171</v>
      </c>
    </row>
    <row r="70" spans="1:6" x14ac:dyDescent="0.3">
      <c r="A70" s="3" t="s">
        <v>145</v>
      </c>
      <c r="B70" s="3">
        <v>55000</v>
      </c>
    </row>
    <row r="71" spans="1:6" x14ac:dyDescent="0.3">
      <c r="A71" s="3" t="s">
        <v>172</v>
      </c>
      <c r="B71" s="3">
        <v>72000</v>
      </c>
      <c r="D71" t="s">
        <v>153</v>
      </c>
    </row>
    <row r="72" spans="1:6" x14ac:dyDescent="0.3">
      <c r="A72" s="3" t="s">
        <v>173</v>
      </c>
      <c r="B72" s="3">
        <v>62000</v>
      </c>
      <c r="D72" s="11">
        <f>INDEX(A70:B73,2,2)</f>
        <v>72000</v>
      </c>
    </row>
    <row r="73" spans="1:6" x14ac:dyDescent="0.3">
      <c r="A73" s="3" t="s">
        <v>143</v>
      </c>
      <c r="B73" s="3">
        <v>41000</v>
      </c>
    </row>
    <row r="76" spans="1:6" x14ac:dyDescent="0.3">
      <c r="A76" s="7" t="s">
        <v>174</v>
      </c>
      <c r="B76" s="7"/>
      <c r="C76" s="7"/>
      <c r="D76" s="7"/>
      <c r="E76" s="7"/>
      <c r="F76" s="7"/>
    </row>
    <row r="78" spans="1:6" x14ac:dyDescent="0.3">
      <c r="A78" s="1" t="s">
        <v>141</v>
      </c>
      <c r="B78" s="1" t="s">
        <v>177</v>
      </c>
    </row>
    <row r="79" spans="1:6" x14ac:dyDescent="0.3">
      <c r="A79" s="3" t="s">
        <v>142</v>
      </c>
      <c r="B79" s="3" t="s">
        <v>151</v>
      </c>
    </row>
    <row r="80" spans="1:6" x14ac:dyDescent="0.3">
      <c r="A80" s="3" t="s">
        <v>175</v>
      </c>
      <c r="B80" s="3" t="s">
        <v>150</v>
      </c>
      <c r="C80" t="s">
        <v>153</v>
      </c>
    </row>
    <row r="81" spans="1:3" x14ac:dyDescent="0.3">
      <c r="A81" s="3" t="s">
        <v>173</v>
      </c>
      <c r="B81" s="3" t="s">
        <v>126</v>
      </c>
      <c r="C81" s="12" t="str">
        <f>_xlfn.XLOOKUP(A80,A79:A82,B79:B82)</f>
        <v>IT</v>
      </c>
    </row>
    <row r="82" spans="1:3" x14ac:dyDescent="0.3">
      <c r="A82" s="3" t="s">
        <v>176</v>
      </c>
      <c r="B82" s="3" t="s">
        <v>152</v>
      </c>
    </row>
  </sheetData>
  <mergeCells count="9">
    <mergeCell ref="A55:F55"/>
    <mergeCell ref="A67:D67"/>
    <mergeCell ref="A76:F76"/>
    <mergeCell ref="A19:H19"/>
    <mergeCell ref="A28:G28"/>
    <mergeCell ref="B38:C38"/>
    <mergeCell ref="A40:O40"/>
    <mergeCell ref="A41:L41"/>
    <mergeCell ref="A44:E4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382A3-3ED9-48F9-BB00-D2364BBE16AC}">
  <dimension ref="A1:H51"/>
  <sheetViews>
    <sheetView workbookViewId="0">
      <selection activeCell="H2" sqref="H2"/>
    </sheetView>
  </sheetViews>
  <sheetFormatPr defaultRowHeight="14.4" x14ac:dyDescent="0.3"/>
  <sheetData>
    <row r="1" spans="1:8" x14ac:dyDescent="0.3">
      <c r="A1" t="s">
        <v>55</v>
      </c>
      <c r="B1" t="s">
        <v>55</v>
      </c>
      <c r="C1" t="s">
        <v>55</v>
      </c>
      <c r="D1" t="s">
        <v>55</v>
      </c>
      <c r="E1" t="s">
        <v>55</v>
      </c>
      <c r="F1" t="s">
        <v>55</v>
      </c>
      <c r="G1" t="s">
        <v>55</v>
      </c>
      <c r="H1" t="s">
        <v>55</v>
      </c>
    </row>
    <row r="2" spans="1:8" x14ac:dyDescent="0.3">
      <c r="A2">
        <v>1001</v>
      </c>
      <c r="B2" t="s">
        <v>56</v>
      </c>
      <c r="C2" t="s">
        <v>57</v>
      </c>
      <c r="D2" t="s">
        <v>58</v>
      </c>
      <c r="E2">
        <v>10</v>
      </c>
      <c r="F2">
        <v>50</v>
      </c>
      <c r="G2">
        <v>45296</v>
      </c>
      <c r="H2">
        <v>500</v>
      </c>
    </row>
    <row r="3" spans="1:8" x14ac:dyDescent="0.3">
      <c r="A3">
        <v>1002</v>
      </c>
      <c r="B3" t="s">
        <v>59</v>
      </c>
      <c r="C3" t="s">
        <v>60</v>
      </c>
      <c r="D3" t="s">
        <v>61</v>
      </c>
      <c r="E3">
        <v>20</v>
      </c>
      <c r="F3">
        <v>10</v>
      </c>
      <c r="G3">
        <v>45297</v>
      </c>
      <c r="H3">
        <v>200</v>
      </c>
    </row>
    <row r="4" spans="1:8" x14ac:dyDescent="0.3">
      <c r="A4">
        <v>1003</v>
      </c>
      <c r="B4" t="s">
        <v>62</v>
      </c>
      <c r="C4" t="s">
        <v>63</v>
      </c>
      <c r="D4" t="s">
        <v>64</v>
      </c>
      <c r="E4">
        <v>15</v>
      </c>
      <c r="F4">
        <v>25</v>
      </c>
      <c r="G4">
        <v>45298</v>
      </c>
      <c r="H4">
        <v>375</v>
      </c>
    </row>
    <row r="5" spans="1:8" x14ac:dyDescent="0.3">
      <c r="A5">
        <v>1004</v>
      </c>
      <c r="B5" t="s">
        <v>65</v>
      </c>
      <c r="C5" t="s">
        <v>66</v>
      </c>
      <c r="D5" t="s">
        <v>58</v>
      </c>
      <c r="E5">
        <v>5</v>
      </c>
      <c r="F5">
        <v>50</v>
      </c>
      <c r="G5">
        <v>45299</v>
      </c>
      <c r="H5">
        <v>250</v>
      </c>
    </row>
    <row r="6" spans="1:8" x14ac:dyDescent="0.3">
      <c r="A6">
        <v>1005</v>
      </c>
      <c r="B6" t="s">
        <v>67</v>
      </c>
      <c r="C6" t="s">
        <v>57</v>
      </c>
      <c r="D6" t="s">
        <v>68</v>
      </c>
      <c r="E6">
        <v>30</v>
      </c>
      <c r="F6">
        <v>5</v>
      </c>
      <c r="G6">
        <v>45301</v>
      </c>
      <c r="H6">
        <v>150</v>
      </c>
    </row>
    <row r="7" spans="1:8" x14ac:dyDescent="0.3">
      <c r="A7">
        <v>1006</v>
      </c>
      <c r="B7" t="s">
        <v>69</v>
      </c>
      <c r="C7" t="s">
        <v>60</v>
      </c>
      <c r="D7" t="s">
        <v>58</v>
      </c>
      <c r="E7">
        <v>12</v>
      </c>
      <c r="F7">
        <v>50</v>
      </c>
      <c r="G7">
        <v>45302</v>
      </c>
      <c r="H7">
        <v>600</v>
      </c>
    </row>
    <row r="8" spans="1:8" x14ac:dyDescent="0.3">
      <c r="A8">
        <v>1007</v>
      </c>
      <c r="B8" t="s">
        <v>70</v>
      </c>
      <c r="C8" t="s">
        <v>63</v>
      </c>
      <c r="D8" t="s">
        <v>71</v>
      </c>
      <c r="E8">
        <v>25</v>
      </c>
      <c r="F8">
        <v>8</v>
      </c>
      <c r="G8">
        <v>45304</v>
      </c>
      <c r="H8">
        <v>200</v>
      </c>
    </row>
    <row r="9" spans="1:8" x14ac:dyDescent="0.3">
      <c r="A9">
        <v>1008</v>
      </c>
      <c r="B9" t="s">
        <v>72</v>
      </c>
      <c r="C9" t="s">
        <v>66</v>
      </c>
      <c r="D9" t="s">
        <v>61</v>
      </c>
      <c r="E9">
        <v>18</v>
      </c>
      <c r="F9">
        <v>10</v>
      </c>
      <c r="G9">
        <v>45306</v>
      </c>
      <c r="H9">
        <v>180</v>
      </c>
    </row>
    <row r="10" spans="1:8" x14ac:dyDescent="0.3">
      <c r="A10">
        <v>1009</v>
      </c>
      <c r="B10" t="s">
        <v>73</v>
      </c>
      <c r="C10" t="s">
        <v>57</v>
      </c>
      <c r="D10" t="s">
        <v>64</v>
      </c>
      <c r="E10">
        <v>22</v>
      </c>
      <c r="F10">
        <v>25</v>
      </c>
      <c r="G10">
        <v>45308</v>
      </c>
      <c r="H10">
        <v>550</v>
      </c>
    </row>
    <row r="11" spans="1:8" x14ac:dyDescent="0.3">
      <c r="A11">
        <v>1010</v>
      </c>
      <c r="B11" t="s">
        <v>74</v>
      </c>
      <c r="C11" t="s">
        <v>60</v>
      </c>
      <c r="D11" t="s">
        <v>58</v>
      </c>
      <c r="E11">
        <v>8</v>
      </c>
      <c r="F11">
        <v>50</v>
      </c>
      <c r="G11">
        <v>45309</v>
      </c>
      <c r="H11">
        <v>400</v>
      </c>
    </row>
    <row r="12" spans="1:8" x14ac:dyDescent="0.3">
      <c r="A12">
        <v>1011</v>
      </c>
      <c r="B12" t="s">
        <v>75</v>
      </c>
      <c r="C12" t="s">
        <v>63</v>
      </c>
      <c r="D12" t="s">
        <v>68</v>
      </c>
      <c r="E12">
        <v>40</v>
      </c>
      <c r="F12">
        <v>5</v>
      </c>
      <c r="G12">
        <v>45310</v>
      </c>
      <c r="H12">
        <v>200</v>
      </c>
    </row>
    <row r="13" spans="1:8" x14ac:dyDescent="0.3">
      <c r="A13">
        <v>1012</v>
      </c>
      <c r="B13" t="s">
        <v>76</v>
      </c>
      <c r="C13" t="s">
        <v>66</v>
      </c>
      <c r="D13" t="s">
        <v>71</v>
      </c>
      <c r="E13">
        <v>35</v>
      </c>
      <c r="F13">
        <v>8</v>
      </c>
      <c r="G13">
        <v>45311</v>
      </c>
      <c r="H13">
        <v>280</v>
      </c>
    </row>
    <row r="14" spans="1:8" x14ac:dyDescent="0.3">
      <c r="A14">
        <v>1013</v>
      </c>
      <c r="B14" t="s">
        <v>77</v>
      </c>
      <c r="C14" t="s">
        <v>57</v>
      </c>
      <c r="D14" t="s">
        <v>58</v>
      </c>
      <c r="E14">
        <v>14</v>
      </c>
      <c r="F14">
        <v>50</v>
      </c>
      <c r="G14">
        <v>45313</v>
      </c>
      <c r="H14">
        <v>700</v>
      </c>
    </row>
    <row r="15" spans="1:8" x14ac:dyDescent="0.3">
      <c r="A15">
        <v>1014</v>
      </c>
      <c r="B15" t="s">
        <v>78</v>
      </c>
      <c r="C15" t="s">
        <v>60</v>
      </c>
      <c r="D15" t="s">
        <v>61</v>
      </c>
      <c r="E15">
        <v>28</v>
      </c>
      <c r="F15">
        <v>10</v>
      </c>
      <c r="G15">
        <v>45314</v>
      </c>
      <c r="H15">
        <v>280</v>
      </c>
    </row>
    <row r="16" spans="1:8" x14ac:dyDescent="0.3">
      <c r="A16">
        <v>1015</v>
      </c>
      <c r="B16" t="s">
        <v>79</v>
      </c>
      <c r="C16" t="s">
        <v>63</v>
      </c>
      <c r="D16" t="s">
        <v>64</v>
      </c>
      <c r="E16">
        <v>12</v>
      </c>
      <c r="F16">
        <v>25</v>
      </c>
      <c r="G16">
        <v>45315</v>
      </c>
      <c r="H16">
        <v>300</v>
      </c>
    </row>
    <row r="17" spans="1:8" x14ac:dyDescent="0.3">
      <c r="A17">
        <v>1016</v>
      </c>
      <c r="B17" t="s">
        <v>80</v>
      </c>
      <c r="C17" t="s">
        <v>66</v>
      </c>
      <c r="D17" t="s">
        <v>68</v>
      </c>
      <c r="E17">
        <v>25</v>
      </c>
      <c r="F17">
        <v>5</v>
      </c>
      <c r="G17">
        <v>45317</v>
      </c>
      <c r="H17">
        <v>125</v>
      </c>
    </row>
    <row r="18" spans="1:8" x14ac:dyDescent="0.3">
      <c r="A18">
        <v>1017</v>
      </c>
      <c r="B18" t="s">
        <v>81</v>
      </c>
      <c r="C18" t="s">
        <v>57</v>
      </c>
      <c r="D18" t="s">
        <v>71</v>
      </c>
      <c r="E18">
        <v>20</v>
      </c>
      <c r="F18">
        <v>8</v>
      </c>
      <c r="G18">
        <v>45319</v>
      </c>
      <c r="H18">
        <v>160</v>
      </c>
    </row>
    <row r="19" spans="1:8" x14ac:dyDescent="0.3">
      <c r="A19">
        <v>1018</v>
      </c>
      <c r="B19" t="s">
        <v>82</v>
      </c>
      <c r="C19" t="s">
        <v>60</v>
      </c>
      <c r="D19" t="s">
        <v>58</v>
      </c>
      <c r="E19">
        <v>10</v>
      </c>
      <c r="F19">
        <v>50</v>
      </c>
      <c r="G19">
        <v>45320</v>
      </c>
      <c r="H19">
        <v>500</v>
      </c>
    </row>
    <row r="20" spans="1:8" x14ac:dyDescent="0.3">
      <c r="A20">
        <v>1019</v>
      </c>
      <c r="B20" t="s">
        <v>83</v>
      </c>
      <c r="C20" t="s">
        <v>63</v>
      </c>
      <c r="D20" t="s">
        <v>61</v>
      </c>
      <c r="E20">
        <v>15</v>
      </c>
      <c r="F20">
        <v>10</v>
      </c>
      <c r="G20">
        <v>45321</v>
      </c>
      <c r="H20">
        <v>150</v>
      </c>
    </row>
    <row r="21" spans="1:8" x14ac:dyDescent="0.3">
      <c r="A21">
        <v>1020</v>
      </c>
      <c r="B21" t="s">
        <v>84</v>
      </c>
      <c r="C21" t="s">
        <v>66</v>
      </c>
      <c r="D21" t="s">
        <v>64</v>
      </c>
      <c r="E21">
        <v>18</v>
      </c>
      <c r="F21">
        <v>25</v>
      </c>
      <c r="G21">
        <v>45323</v>
      </c>
      <c r="H21">
        <v>450</v>
      </c>
    </row>
    <row r="22" spans="1:8" x14ac:dyDescent="0.3">
      <c r="A22">
        <v>1021</v>
      </c>
      <c r="B22" t="s">
        <v>85</v>
      </c>
      <c r="C22" t="s">
        <v>57</v>
      </c>
      <c r="D22" t="s">
        <v>58</v>
      </c>
      <c r="E22">
        <v>9</v>
      </c>
      <c r="F22">
        <v>50</v>
      </c>
      <c r="G22">
        <v>45324</v>
      </c>
      <c r="H22">
        <v>450</v>
      </c>
    </row>
    <row r="23" spans="1:8" x14ac:dyDescent="0.3">
      <c r="A23">
        <v>1022</v>
      </c>
      <c r="B23" t="s">
        <v>86</v>
      </c>
      <c r="C23" t="s">
        <v>60</v>
      </c>
      <c r="D23" t="s">
        <v>68</v>
      </c>
      <c r="E23">
        <v>35</v>
      </c>
      <c r="F23">
        <v>5</v>
      </c>
      <c r="G23">
        <v>45325</v>
      </c>
      <c r="H23">
        <v>175</v>
      </c>
    </row>
    <row r="24" spans="1:8" x14ac:dyDescent="0.3">
      <c r="A24">
        <v>1023</v>
      </c>
      <c r="B24" t="s">
        <v>87</v>
      </c>
      <c r="C24" t="s">
        <v>63</v>
      </c>
      <c r="D24" t="s">
        <v>71</v>
      </c>
      <c r="E24">
        <v>30</v>
      </c>
      <c r="F24">
        <v>8</v>
      </c>
      <c r="G24">
        <v>45326</v>
      </c>
      <c r="H24">
        <v>240</v>
      </c>
    </row>
    <row r="25" spans="1:8" x14ac:dyDescent="0.3">
      <c r="A25">
        <v>1024</v>
      </c>
      <c r="B25" t="s">
        <v>88</v>
      </c>
      <c r="C25" t="s">
        <v>66</v>
      </c>
      <c r="D25" t="s">
        <v>58</v>
      </c>
      <c r="E25">
        <v>11</v>
      </c>
      <c r="F25">
        <v>50</v>
      </c>
      <c r="G25">
        <v>45328</v>
      </c>
      <c r="H25">
        <v>550</v>
      </c>
    </row>
    <row r="26" spans="1:8" x14ac:dyDescent="0.3">
      <c r="A26">
        <v>1025</v>
      </c>
      <c r="B26" t="s">
        <v>89</v>
      </c>
      <c r="C26" t="s">
        <v>57</v>
      </c>
      <c r="D26" t="s">
        <v>61</v>
      </c>
      <c r="E26">
        <v>14</v>
      </c>
      <c r="F26">
        <v>10</v>
      </c>
      <c r="G26">
        <v>45329</v>
      </c>
      <c r="H26">
        <v>140</v>
      </c>
    </row>
    <row r="27" spans="1:8" x14ac:dyDescent="0.3">
      <c r="A27">
        <v>1026</v>
      </c>
      <c r="B27" t="s">
        <v>90</v>
      </c>
      <c r="C27" t="s">
        <v>60</v>
      </c>
      <c r="D27" t="s">
        <v>64</v>
      </c>
      <c r="E27">
        <v>16</v>
      </c>
      <c r="F27">
        <v>25</v>
      </c>
      <c r="G27">
        <v>45330</v>
      </c>
      <c r="H27">
        <v>400</v>
      </c>
    </row>
    <row r="28" spans="1:8" x14ac:dyDescent="0.3">
      <c r="A28">
        <v>1027</v>
      </c>
      <c r="B28" t="s">
        <v>91</v>
      </c>
      <c r="C28" t="s">
        <v>63</v>
      </c>
      <c r="D28" t="s">
        <v>68</v>
      </c>
      <c r="E28">
        <v>22</v>
      </c>
      <c r="F28">
        <v>5</v>
      </c>
      <c r="G28">
        <v>45331</v>
      </c>
      <c r="H28">
        <v>110</v>
      </c>
    </row>
    <row r="29" spans="1:8" x14ac:dyDescent="0.3">
      <c r="A29">
        <v>1028</v>
      </c>
      <c r="B29" t="s">
        <v>92</v>
      </c>
      <c r="C29" t="s">
        <v>66</v>
      </c>
      <c r="D29" t="s">
        <v>71</v>
      </c>
      <c r="E29">
        <v>27</v>
      </c>
      <c r="F29">
        <v>8</v>
      </c>
      <c r="G29">
        <v>45332</v>
      </c>
      <c r="H29">
        <v>216</v>
      </c>
    </row>
    <row r="30" spans="1:8" x14ac:dyDescent="0.3">
      <c r="A30">
        <v>1029</v>
      </c>
      <c r="B30" t="s">
        <v>93</v>
      </c>
      <c r="C30" t="s">
        <v>57</v>
      </c>
      <c r="D30" t="s">
        <v>58</v>
      </c>
      <c r="E30">
        <v>13</v>
      </c>
      <c r="F30">
        <v>50</v>
      </c>
      <c r="G30">
        <v>45334</v>
      </c>
      <c r="H30">
        <v>650</v>
      </c>
    </row>
    <row r="31" spans="1:8" x14ac:dyDescent="0.3">
      <c r="A31">
        <v>1030</v>
      </c>
      <c r="B31" t="s">
        <v>94</v>
      </c>
      <c r="C31" t="s">
        <v>60</v>
      </c>
      <c r="D31" t="s">
        <v>61</v>
      </c>
      <c r="E31">
        <v>32</v>
      </c>
      <c r="F31">
        <v>10</v>
      </c>
      <c r="G31">
        <v>45335</v>
      </c>
      <c r="H31">
        <v>320</v>
      </c>
    </row>
    <row r="32" spans="1:8" x14ac:dyDescent="0.3">
      <c r="A32">
        <v>1031</v>
      </c>
      <c r="B32" t="s">
        <v>95</v>
      </c>
      <c r="C32" t="s">
        <v>63</v>
      </c>
      <c r="D32" t="s">
        <v>64</v>
      </c>
      <c r="E32">
        <v>10</v>
      </c>
      <c r="F32">
        <v>25</v>
      </c>
      <c r="G32">
        <v>45336</v>
      </c>
      <c r="H32">
        <v>250</v>
      </c>
    </row>
    <row r="33" spans="1:8" x14ac:dyDescent="0.3">
      <c r="A33">
        <v>1032</v>
      </c>
      <c r="B33" t="s">
        <v>96</v>
      </c>
      <c r="C33" t="s">
        <v>66</v>
      </c>
      <c r="D33" t="s">
        <v>68</v>
      </c>
      <c r="E33">
        <v>18</v>
      </c>
      <c r="F33">
        <v>5</v>
      </c>
      <c r="G33">
        <v>45338</v>
      </c>
      <c r="H33">
        <v>90</v>
      </c>
    </row>
    <row r="34" spans="1:8" x14ac:dyDescent="0.3">
      <c r="A34">
        <v>1033</v>
      </c>
      <c r="B34" t="s">
        <v>97</v>
      </c>
      <c r="C34" t="s">
        <v>57</v>
      </c>
      <c r="D34" t="s">
        <v>71</v>
      </c>
      <c r="E34">
        <v>22</v>
      </c>
      <c r="F34">
        <v>8</v>
      </c>
      <c r="G34">
        <v>45339</v>
      </c>
      <c r="H34">
        <v>176</v>
      </c>
    </row>
    <row r="35" spans="1:8" x14ac:dyDescent="0.3">
      <c r="A35">
        <v>1034</v>
      </c>
      <c r="B35" t="s">
        <v>98</v>
      </c>
      <c r="C35" t="s">
        <v>60</v>
      </c>
      <c r="D35" t="s">
        <v>58</v>
      </c>
      <c r="E35">
        <v>17</v>
      </c>
      <c r="F35">
        <v>50</v>
      </c>
      <c r="G35">
        <v>45340</v>
      </c>
      <c r="H35">
        <v>850</v>
      </c>
    </row>
    <row r="36" spans="1:8" x14ac:dyDescent="0.3">
      <c r="A36">
        <v>1035</v>
      </c>
      <c r="B36" t="s">
        <v>99</v>
      </c>
      <c r="C36" t="s">
        <v>63</v>
      </c>
      <c r="D36" t="s">
        <v>61</v>
      </c>
      <c r="E36">
        <v>19</v>
      </c>
      <c r="F36">
        <v>10</v>
      </c>
      <c r="G36">
        <v>45341</v>
      </c>
      <c r="H36">
        <v>190</v>
      </c>
    </row>
    <row r="37" spans="1:8" x14ac:dyDescent="0.3">
      <c r="A37">
        <v>1036</v>
      </c>
      <c r="B37" t="s">
        <v>100</v>
      </c>
      <c r="C37" t="s">
        <v>66</v>
      </c>
      <c r="D37" t="s">
        <v>64</v>
      </c>
      <c r="E37">
        <v>15</v>
      </c>
      <c r="F37">
        <v>25</v>
      </c>
      <c r="G37">
        <v>45343</v>
      </c>
      <c r="H37">
        <v>375</v>
      </c>
    </row>
    <row r="38" spans="1:8" x14ac:dyDescent="0.3">
      <c r="A38">
        <v>1037</v>
      </c>
      <c r="B38" t="s">
        <v>101</v>
      </c>
      <c r="C38" t="s">
        <v>57</v>
      </c>
      <c r="D38" t="s">
        <v>68</v>
      </c>
      <c r="E38">
        <v>28</v>
      </c>
      <c r="F38">
        <v>5</v>
      </c>
      <c r="G38">
        <v>45344</v>
      </c>
      <c r="H38">
        <v>140</v>
      </c>
    </row>
    <row r="39" spans="1:8" x14ac:dyDescent="0.3">
      <c r="A39">
        <v>1038</v>
      </c>
      <c r="B39" t="s">
        <v>102</v>
      </c>
      <c r="C39" t="s">
        <v>60</v>
      </c>
      <c r="D39" t="s">
        <v>71</v>
      </c>
      <c r="E39">
        <v>24</v>
      </c>
      <c r="F39">
        <v>8</v>
      </c>
      <c r="G39">
        <v>45345</v>
      </c>
      <c r="H39">
        <v>192</v>
      </c>
    </row>
    <row r="40" spans="1:8" x14ac:dyDescent="0.3">
      <c r="A40">
        <v>1039</v>
      </c>
      <c r="B40" t="s">
        <v>103</v>
      </c>
      <c r="C40" t="s">
        <v>63</v>
      </c>
      <c r="D40" t="s">
        <v>58</v>
      </c>
      <c r="E40">
        <v>16</v>
      </c>
      <c r="F40">
        <v>50</v>
      </c>
      <c r="G40">
        <v>45347</v>
      </c>
      <c r="H40">
        <v>800</v>
      </c>
    </row>
    <row r="41" spans="1:8" x14ac:dyDescent="0.3">
      <c r="A41">
        <v>1040</v>
      </c>
      <c r="B41" t="s">
        <v>104</v>
      </c>
      <c r="C41" t="s">
        <v>66</v>
      </c>
      <c r="D41" t="s">
        <v>61</v>
      </c>
      <c r="E41">
        <v>27</v>
      </c>
      <c r="F41">
        <v>10</v>
      </c>
      <c r="G41">
        <v>45348</v>
      </c>
      <c r="H41">
        <v>270</v>
      </c>
    </row>
    <row r="42" spans="1:8" x14ac:dyDescent="0.3">
      <c r="A42">
        <v>1041</v>
      </c>
      <c r="B42" t="s">
        <v>105</v>
      </c>
      <c r="C42" t="s">
        <v>57</v>
      </c>
      <c r="D42" t="s">
        <v>64</v>
      </c>
      <c r="E42">
        <v>21</v>
      </c>
      <c r="F42">
        <v>25</v>
      </c>
      <c r="G42">
        <v>45349</v>
      </c>
      <c r="H42">
        <v>525</v>
      </c>
    </row>
    <row r="43" spans="1:8" x14ac:dyDescent="0.3">
      <c r="A43">
        <v>1042</v>
      </c>
      <c r="B43" t="s">
        <v>106</v>
      </c>
      <c r="C43" t="s">
        <v>60</v>
      </c>
      <c r="D43" t="s">
        <v>68</v>
      </c>
      <c r="E43">
        <v>30</v>
      </c>
      <c r="F43">
        <v>5</v>
      </c>
      <c r="G43">
        <v>45350</v>
      </c>
      <c r="H43">
        <v>150</v>
      </c>
    </row>
    <row r="44" spans="1:8" x14ac:dyDescent="0.3">
      <c r="A44">
        <v>1043</v>
      </c>
      <c r="B44" t="s">
        <v>107</v>
      </c>
      <c r="C44" t="s">
        <v>63</v>
      </c>
      <c r="D44" t="s">
        <v>71</v>
      </c>
      <c r="E44">
        <v>26</v>
      </c>
      <c r="F44">
        <v>8</v>
      </c>
      <c r="G44">
        <v>45352</v>
      </c>
      <c r="H44">
        <v>208</v>
      </c>
    </row>
    <row r="45" spans="1:8" x14ac:dyDescent="0.3">
      <c r="A45">
        <v>1044</v>
      </c>
      <c r="B45" t="s">
        <v>108</v>
      </c>
      <c r="C45" t="s">
        <v>66</v>
      </c>
      <c r="D45" t="s">
        <v>58</v>
      </c>
      <c r="E45">
        <v>14</v>
      </c>
      <c r="F45">
        <v>50</v>
      </c>
      <c r="G45">
        <v>45353</v>
      </c>
      <c r="H45">
        <v>700</v>
      </c>
    </row>
    <row r="46" spans="1:8" x14ac:dyDescent="0.3">
      <c r="A46">
        <v>1045</v>
      </c>
      <c r="B46" t="s">
        <v>109</v>
      </c>
      <c r="C46" t="s">
        <v>57</v>
      </c>
      <c r="D46" t="s">
        <v>61</v>
      </c>
      <c r="E46">
        <v>20</v>
      </c>
      <c r="F46">
        <v>10</v>
      </c>
      <c r="G46">
        <v>45354</v>
      </c>
      <c r="H46">
        <v>200</v>
      </c>
    </row>
    <row r="47" spans="1:8" x14ac:dyDescent="0.3">
      <c r="A47">
        <v>1046</v>
      </c>
      <c r="B47" t="s">
        <v>110</v>
      </c>
      <c r="C47" t="s">
        <v>60</v>
      </c>
      <c r="D47" t="s">
        <v>64</v>
      </c>
      <c r="E47">
        <v>17</v>
      </c>
      <c r="F47">
        <v>25</v>
      </c>
      <c r="G47">
        <v>45355</v>
      </c>
      <c r="H47">
        <v>425</v>
      </c>
    </row>
    <row r="48" spans="1:8" x14ac:dyDescent="0.3">
      <c r="A48">
        <v>1047</v>
      </c>
      <c r="B48" t="s">
        <v>111</v>
      </c>
      <c r="C48" t="s">
        <v>63</v>
      </c>
      <c r="D48" t="s">
        <v>68</v>
      </c>
      <c r="E48">
        <v>19</v>
      </c>
      <c r="F48">
        <v>5</v>
      </c>
      <c r="G48">
        <v>45356</v>
      </c>
      <c r="H48">
        <v>95</v>
      </c>
    </row>
    <row r="49" spans="1:8" x14ac:dyDescent="0.3">
      <c r="A49">
        <v>1048</v>
      </c>
      <c r="B49" t="s">
        <v>112</v>
      </c>
      <c r="C49" t="s">
        <v>66</v>
      </c>
      <c r="D49" t="s">
        <v>71</v>
      </c>
      <c r="E49">
        <v>32</v>
      </c>
      <c r="F49">
        <v>8</v>
      </c>
      <c r="G49">
        <v>45357</v>
      </c>
      <c r="H49">
        <v>256</v>
      </c>
    </row>
    <row r="50" spans="1:8" x14ac:dyDescent="0.3">
      <c r="A50">
        <v>1049</v>
      </c>
      <c r="B50" t="s">
        <v>113</v>
      </c>
      <c r="C50" t="s">
        <v>57</v>
      </c>
      <c r="D50" t="s">
        <v>58</v>
      </c>
      <c r="E50">
        <v>12</v>
      </c>
      <c r="F50">
        <v>50</v>
      </c>
      <c r="G50">
        <v>45358</v>
      </c>
      <c r="H50">
        <v>600</v>
      </c>
    </row>
    <row r="51" spans="1:8" x14ac:dyDescent="0.3">
      <c r="A51">
        <v>1050</v>
      </c>
      <c r="B51" t="s">
        <v>114</v>
      </c>
      <c r="C51" t="s">
        <v>60</v>
      </c>
      <c r="D51" t="s">
        <v>61</v>
      </c>
      <c r="E51">
        <v>25</v>
      </c>
      <c r="F51">
        <v>10</v>
      </c>
      <c r="G51">
        <v>45359</v>
      </c>
      <c r="H5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aaisha kumari</dc:creator>
  <cp:lastModifiedBy>aaisha kumari</cp:lastModifiedBy>
  <dcterms:created xsi:type="dcterms:W3CDTF">2025-12-11T13:51:11Z</dcterms:created>
  <dcterms:modified xsi:type="dcterms:W3CDTF">2025-12-12T19:05:39Z</dcterms:modified>
</cp:coreProperties>
</file>